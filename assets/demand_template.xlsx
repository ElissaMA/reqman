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需求单" sheetId="1" r:id="rId1"/>
  </sheets>
  <externalReferences>
    <externalReference r:id="rId2"/>
  </externalReferences>
  <definedNames>
    <definedName name="_xlnm.Print_Area" localSheetId="0">需求单!$A$1:$I$41</definedName>
  </definedNames>
  <calcPr calcId="144525"/>
</workbook>
</file>

<file path=xl/sharedStrings.xml><?xml version="1.0" encoding="utf-8"?>
<sst xmlns="http://schemas.openxmlformats.org/spreadsheetml/2006/main" count="75" uniqueCount="44">
  <si>
    <t>机务二队定检需求单（XXXX.XX.XX）
（B-XXXX XXA）</t>
  </si>
  <si>
    <t>一、定检运行条件要求（机务二队、MCC、维修支援中队负责）</t>
  </si>
  <si>
    <t>项目</t>
  </si>
  <si>
    <t>项目需求</t>
  </si>
  <si>
    <t>备注</t>
  </si>
  <si>
    <t>负责</t>
  </si>
  <si>
    <t>MCC落实情况反馈</t>
  </si>
  <si>
    <t>机位用电</t>
  </si>
  <si>
    <t>需要</t>
  </si>
  <si>
    <t>MCC总控、维修支援中队负责</t>
  </si>
  <si>
    <t>定检机位</t>
  </si>
  <si>
    <t>（优先514/513，若不是，请通知）</t>
  </si>
  <si>
    <t>MCC负责</t>
  </si>
  <si>
    <t>试大车机位</t>
  </si>
  <si>
    <t>不需要</t>
  </si>
  <si>
    <t>试大车人员</t>
  </si>
  <si>
    <t>ELT测试</t>
  </si>
  <si>
    <t>ATC测试</t>
  </si>
  <si>
    <t>机库需求</t>
  </si>
  <si>
    <t>后续航班运行建议</t>
  </si>
  <si>
    <t>AOG带件情况</t>
  </si>
  <si>
    <t>二、本次定检工装\航材需求（机务二队、MCC、维修支援中队负责）</t>
  </si>
  <si>
    <t>定检专业
（工具）</t>
  </si>
  <si>
    <t>设备名称</t>
  </si>
  <si>
    <t>件号</t>
  </si>
  <si>
    <t>工作名称</t>
  </si>
  <si>
    <t>数量</t>
  </si>
  <si>
    <t>库存情况（库存不足需标红底色）</t>
  </si>
  <si>
    <t>区域放行确认</t>
  </si>
  <si>
    <t>工具房确认</t>
  </si>
  <si>
    <t>发动机工具</t>
  </si>
  <si>
    <t>机体工具</t>
  </si>
  <si>
    <t>电子工具</t>
  </si>
  <si>
    <t>本次定检新增工作</t>
  </si>
  <si>
    <t>无</t>
  </si>
  <si>
    <t>定检专业
（航材）</t>
  </si>
  <si>
    <t>航材名称</t>
  </si>
  <si>
    <t>MCC调配反馈（只调配库存为红色项目）</t>
  </si>
  <si>
    <t>发动机</t>
  </si>
  <si>
    <t>机体</t>
  </si>
  <si>
    <t>电子</t>
  </si>
  <si>
    <t>三、备用航材需求(机务二队、MCC负责)</t>
  </si>
  <si>
    <t>专业</t>
  </si>
  <si>
    <t>调配数量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</si>
</sst>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color theme="1"/>
      <name val="等线"/>
      <charset val="134"/>
      <scheme val="minor"/>
    </font>
    <font>
      <sz val="12"/>
      <color rgb="FF000000"/>
      <name val="SimSun"/>
      <charset val="134"/>
    </font>
    <font>
      <b/>
      <sz val="22"/>
      <color rgb="FF000000"/>
      <name val="SimSun"/>
      <charset val="134"/>
    </font>
    <font>
      <b/>
      <sz val="16"/>
      <color rgb="FF000000"/>
      <name val="SimSun"/>
      <charset val="134"/>
    </font>
    <font>
      <b/>
      <sz val="12"/>
      <color rgb="FF000000"/>
      <name val="SimSu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sz val="12"/>
      <color theme="1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b/>
      <sz val="16"/>
      <color rgb="FFFF0000"/>
      <name val="SimSun"/>
      <charset val="134"/>
    </font>
    <font>
      <b/>
      <sz val="14"/>
      <color rgb="FFFF0000"/>
      <name val="SimSun"/>
      <charset val="134"/>
    </font>
    <font>
      <b/>
      <sz val="14"/>
      <color rgb="FF000000"/>
      <name val="SimSun"/>
      <charset val="134"/>
    </font>
    <font>
      <sz val="14"/>
      <color rgb="FF000000"/>
      <name val="SimSun"/>
      <charset val="134"/>
    </font>
    <font>
      <sz val="14"/>
      <color theme="1"/>
      <name val="等线"/>
      <charset val="134"/>
      <scheme val="minor"/>
    </font>
    <font>
      <sz val="14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0" fillId="0" borderId="0">
      <alignment vertical="center"/>
    </xf>
    <xf numFmtId="0" fontId="21" fillId="2" borderId="0">
      <alignment vertical="center"/>
    </xf>
    <xf numFmtId="0" fontId="22" fillId="3" borderId="50">
      <alignment vertical="center"/>
    </xf>
    <xf numFmtId="44" fontId="20" fillId="0" borderId="0">
      <alignment vertical="center"/>
    </xf>
    <xf numFmtId="41" fontId="20" fillId="0" borderId="0">
      <alignment vertical="center"/>
    </xf>
    <xf numFmtId="0" fontId="21" fillId="4" borderId="0">
      <alignment vertical="center"/>
    </xf>
    <xf numFmtId="0" fontId="23" fillId="5" borderId="0">
      <alignment vertical="center"/>
    </xf>
    <xf numFmtId="43" fontId="20" fillId="0" borderId="0">
      <alignment vertical="center"/>
    </xf>
    <xf numFmtId="0" fontId="24" fillId="6" borderId="0">
      <alignment vertical="center"/>
    </xf>
    <xf numFmtId="0" fontId="25" fillId="0" borderId="0">
      <alignment vertical="center"/>
    </xf>
    <xf numFmtId="9" fontId="20" fillId="0" borderId="0">
      <alignment vertical="center"/>
    </xf>
    <xf numFmtId="0" fontId="26" fillId="0" borderId="0">
      <alignment vertical="center"/>
    </xf>
    <xf numFmtId="0" fontId="20" fillId="7" borderId="51">
      <alignment vertical="center"/>
    </xf>
    <xf numFmtId="0" fontId="24" fillId="8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52">
      <alignment vertical="center"/>
    </xf>
    <xf numFmtId="0" fontId="32" fillId="0" borderId="52">
      <alignment vertical="center"/>
    </xf>
    <xf numFmtId="0" fontId="24" fillId="9" borderId="0">
      <alignment vertical="center"/>
    </xf>
    <xf numFmtId="0" fontId="27" fillId="0" borderId="53">
      <alignment vertical="center"/>
    </xf>
    <xf numFmtId="0" fontId="24" fillId="10" borderId="0">
      <alignment vertical="center"/>
    </xf>
    <xf numFmtId="0" fontId="33" fillId="11" borderId="54">
      <alignment vertical="center"/>
    </xf>
    <xf numFmtId="0" fontId="34" fillId="11" borderId="50">
      <alignment vertical="center"/>
    </xf>
    <xf numFmtId="0" fontId="35" fillId="12" borderId="55">
      <alignment vertical="center"/>
    </xf>
    <xf numFmtId="0" fontId="21" fillId="13" borderId="0">
      <alignment vertical="center"/>
    </xf>
    <xf numFmtId="0" fontId="24" fillId="14" borderId="0">
      <alignment vertical="center"/>
    </xf>
    <xf numFmtId="0" fontId="36" fillId="0" borderId="56">
      <alignment vertical="center"/>
    </xf>
    <xf numFmtId="0" fontId="37" fillId="0" borderId="57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21" fillId="17" borderId="0">
      <alignment vertical="center"/>
    </xf>
    <xf numFmtId="0" fontId="24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4" fillId="27" borderId="0">
      <alignment vertical="center"/>
    </xf>
    <xf numFmtId="0" fontId="21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1" fillId="31" borderId="0">
      <alignment vertical="center"/>
    </xf>
    <xf numFmtId="0" fontId="24" fillId="32" borderId="0">
      <alignment vertical="center"/>
    </xf>
  </cellStyleXfs>
  <cellXfs count="88">
    <xf numFmtId="0" fontId="0" fillId="0" borderId="0" xfId="0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/>
      <protection locked="0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/>
    <xf numFmtId="0" fontId="4" fillId="0" borderId="6" xfId="0" applyFont="1" applyBorder="1" applyAlignment="1">
      <alignment horizontal="center" vertical="center" wrapText="1"/>
    </xf>
    <xf numFmtId="0" fontId="0" fillId="0" borderId="7" xfId="0" applyBorder="1" applyAlignment="1"/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/>
    <xf numFmtId="0" fontId="7" fillId="0" borderId="12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Border="1" applyAlignment="1"/>
    <xf numFmtId="0" fontId="7" fillId="0" borderId="17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/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6" fillId="0" borderId="21" xfId="0" applyFont="1" applyBorder="1" applyAlignment="1"/>
    <xf numFmtId="0" fontId="7" fillId="0" borderId="22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horizontal="left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10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 applyProtection="1">
      <protection locked="0"/>
    </xf>
    <xf numFmtId="0" fontId="10" fillId="0" borderId="30" xfId="0" applyFont="1" applyBorder="1" applyAlignment="1">
      <alignment horizontal="center" vertical="center" wrapText="1"/>
    </xf>
    <xf numFmtId="0" fontId="10" fillId="0" borderId="30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1" fillId="0" borderId="31" xfId="0" applyFont="1" applyBorder="1" applyAlignment="1" applyProtection="1">
      <alignment vertical="center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12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16" fillId="0" borderId="25" xfId="0" applyFont="1" applyBorder="1" applyAlignment="1" applyProtection="1">
      <alignment horizontal="center" vertical="center" wrapText="1"/>
      <protection locked="0"/>
    </xf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7" fillId="0" borderId="38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protection locked="0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 applyProtection="1">
      <alignment horizontal="center" vertical="center"/>
      <protection locked="0"/>
    </xf>
    <xf numFmtId="0" fontId="17" fillId="0" borderId="30" xfId="0" applyFont="1" applyBorder="1" applyAlignment="1" applyProtection="1">
      <alignment horizontal="center" vertical="center"/>
      <protection locked="0"/>
    </xf>
    <xf numFmtId="0" fontId="18" fillId="0" borderId="38" xfId="0" applyFont="1" applyBorder="1" applyAlignment="1" applyProtection="1"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0" fontId="16" fillId="0" borderId="34" xfId="0" applyFont="1" applyBorder="1" applyAlignment="1" applyProtection="1">
      <alignment horizontal="center" vertical="center" wrapText="1"/>
      <protection locked="0"/>
    </xf>
    <xf numFmtId="0" fontId="17" fillId="0" borderId="39" xfId="0" applyFont="1" applyBorder="1" applyAlignment="1" applyProtection="1">
      <alignment horizontal="center" vertical="center"/>
      <protection locked="0"/>
    </xf>
    <xf numFmtId="0" fontId="16" fillId="0" borderId="32" xfId="0" applyFont="1" applyBorder="1" applyAlignment="1" applyProtection="1">
      <alignment horizontal="center" vertical="center" wrapText="1"/>
      <protection locked="0"/>
    </xf>
    <xf numFmtId="0" fontId="8" fillId="0" borderId="40" xfId="0" applyFont="1" applyBorder="1" applyAlignment="1" applyProtection="1">
      <alignment horizontal="left" vertical="center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0" fillId="0" borderId="41" xfId="0" applyBorder="1" applyAlignment="1" applyProtection="1">
      <protection locked="0"/>
    </xf>
    <xf numFmtId="0" fontId="0" fillId="0" borderId="42" xfId="0" applyBorder="1" applyAlignment="1" applyProtection="1">
      <alignment horizontal="left"/>
      <protection locked="0"/>
    </xf>
    <xf numFmtId="0" fontId="0" fillId="0" borderId="43" xfId="0" applyBorder="1" applyAlignment="1"/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6" fillId="0" borderId="46" xfId="0" applyFont="1" applyBorder="1" applyAlignment="1" applyProtection="1">
      <protection locked="0"/>
    </xf>
    <xf numFmtId="0" fontId="9" fillId="0" borderId="41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vertical="center"/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8" fillId="0" borderId="48" xfId="0" applyFont="1" applyBorder="1" applyAlignment="1" applyProtection="1">
      <alignment horizontal="center" vertical="center" wrapText="1"/>
      <protection locked="0"/>
    </xf>
    <xf numFmtId="0" fontId="17" fillId="0" borderId="49" xfId="0" applyFont="1" applyBorder="1" applyAlignment="1">
      <alignment vertical="center" wrapText="1"/>
    </xf>
    <xf numFmtId="0" fontId="19" fillId="0" borderId="17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P&#23548;&#20986;&#26118;&#26126;&#21487;&#29992;&#20214;&#24211;&#23384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P导出昆明可用件库存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81"/>
  <sheetViews>
    <sheetView tabSelected="1" zoomScale="70" zoomScaleNormal="70" workbookViewId="0">
      <selection activeCell="L35" sqref="L35"/>
    </sheetView>
  </sheetViews>
  <sheetFormatPr defaultColWidth="9" defaultRowHeight="14.25" customHeight="1"/>
  <cols>
    <col min="1" max="1" width="15" style="1" customWidth="1"/>
    <col min="2" max="2" width="34.6615384615385" style="1" customWidth="1"/>
    <col min="3" max="3" width="26.3307692307692" style="1" customWidth="1"/>
    <col min="4" max="4" width="38.6692307692308" style="1" customWidth="1"/>
    <col min="5" max="5" width="13.8307692307692" style="1" customWidth="1"/>
    <col min="6" max="7" width="26.1615384615385" style="1" customWidth="1"/>
    <col min="8" max="9" width="24.3307692307692" style="2" customWidth="1"/>
    <col min="11" max="40" width="8.43076923076923" style="3" customWidth="1"/>
  </cols>
  <sheetData>
    <row r="1" ht="67" customHeight="1" spans="1:9">
      <c r="A1" s="4" t="s">
        <v>0</v>
      </c>
      <c r="B1" s="5"/>
      <c r="C1" s="5"/>
      <c r="D1" s="5"/>
      <c r="E1" s="5"/>
      <c r="F1" s="5"/>
      <c r="G1" s="5"/>
      <c r="H1" s="5"/>
      <c r="I1" s="75"/>
    </row>
    <row r="2" ht="24" customHeight="1" spans="1:9">
      <c r="A2" s="6" t="s">
        <v>1</v>
      </c>
      <c r="B2" s="7"/>
      <c r="C2" s="7"/>
      <c r="D2" s="7"/>
      <c r="E2" s="7"/>
      <c r="F2" s="7"/>
      <c r="G2" s="7"/>
      <c r="H2" s="7"/>
      <c r="I2" s="76"/>
    </row>
    <row r="3" ht="24" customHeight="1" spans="1:9">
      <c r="A3" s="8" t="s">
        <v>2</v>
      </c>
      <c r="B3" s="9"/>
      <c r="C3" s="10" t="s">
        <v>3</v>
      </c>
      <c r="D3" s="10" t="s">
        <v>4</v>
      </c>
      <c r="E3" s="11"/>
      <c r="F3" s="9"/>
      <c r="G3" s="10" t="s">
        <v>5</v>
      </c>
      <c r="H3" s="10" t="s">
        <v>6</v>
      </c>
      <c r="I3" s="77"/>
    </row>
    <row r="4" ht="44" customHeight="1" spans="1:9">
      <c r="A4" s="12" t="s">
        <v>7</v>
      </c>
      <c r="B4" s="13"/>
      <c r="C4" s="14" t="s">
        <v>8</v>
      </c>
      <c r="D4" s="15"/>
      <c r="E4" s="16"/>
      <c r="F4" s="13"/>
      <c r="G4" s="14" t="s">
        <v>9</v>
      </c>
      <c r="H4" s="17"/>
      <c r="I4" s="78"/>
    </row>
    <row r="5" ht="36" customHeight="1" spans="1:9">
      <c r="A5" s="18" t="s">
        <v>10</v>
      </c>
      <c r="B5" s="19"/>
      <c r="C5" s="20" t="s">
        <v>8</v>
      </c>
      <c r="D5" s="21" t="s">
        <v>11</v>
      </c>
      <c r="E5" s="22"/>
      <c r="F5" s="19"/>
      <c r="G5" s="20" t="s">
        <v>12</v>
      </c>
      <c r="H5" s="23"/>
      <c r="I5" s="79"/>
    </row>
    <row r="6" ht="36" customHeight="1" spans="1:9">
      <c r="A6" s="18" t="s">
        <v>13</v>
      </c>
      <c r="B6" s="19"/>
      <c r="C6" s="20" t="s">
        <v>14</v>
      </c>
      <c r="D6" s="21"/>
      <c r="E6" s="22"/>
      <c r="F6" s="19"/>
      <c r="G6" s="20" t="s">
        <v>12</v>
      </c>
      <c r="H6" s="23"/>
      <c r="I6" s="79"/>
    </row>
    <row r="7" ht="32" customHeight="1" spans="1:9">
      <c r="A7" s="18" t="s">
        <v>15</v>
      </c>
      <c r="B7" s="19"/>
      <c r="C7" s="20" t="s">
        <v>14</v>
      </c>
      <c r="D7" s="21"/>
      <c r="E7" s="22"/>
      <c r="F7" s="19"/>
      <c r="G7" s="20" t="s">
        <v>12</v>
      </c>
      <c r="H7" s="23"/>
      <c r="I7" s="79"/>
    </row>
    <row r="8" ht="25" customHeight="1" spans="1:9">
      <c r="A8" s="18" t="s">
        <v>16</v>
      </c>
      <c r="B8" s="19"/>
      <c r="C8" s="20" t="s">
        <v>14</v>
      </c>
      <c r="D8" s="21"/>
      <c r="E8" s="22"/>
      <c r="F8" s="19"/>
      <c r="G8" s="20" t="s">
        <v>12</v>
      </c>
      <c r="H8" s="23"/>
      <c r="I8" s="79"/>
    </row>
    <row r="9" ht="25" customHeight="1" spans="1:9">
      <c r="A9" s="18" t="s">
        <v>17</v>
      </c>
      <c r="B9" s="19"/>
      <c r="C9" s="20" t="s">
        <v>14</v>
      </c>
      <c r="D9" s="21"/>
      <c r="E9" s="22"/>
      <c r="F9" s="19"/>
      <c r="G9" s="20" t="s">
        <v>12</v>
      </c>
      <c r="H9" s="23"/>
      <c r="I9" s="79"/>
    </row>
    <row r="10" ht="24" customHeight="1" spans="1:9">
      <c r="A10" s="18" t="s">
        <v>18</v>
      </c>
      <c r="B10" s="19"/>
      <c r="C10" s="20" t="s">
        <v>14</v>
      </c>
      <c r="D10" s="21"/>
      <c r="E10" s="22"/>
      <c r="F10" s="19"/>
      <c r="G10" s="20" t="s">
        <v>12</v>
      </c>
      <c r="H10" s="23"/>
      <c r="I10" s="79"/>
    </row>
    <row r="11" ht="24" customHeight="1" spans="1:9">
      <c r="A11" s="18" t="s">
        <v>19</v>
      </c>
      <c r="B11" s="19"/>
      <c r="C11" s="20" t="s">
        <v>14</v>
      </c>
      <c r="D11" s="21"/>
      <c r="E11" s="22"/>
      <c r="F11" s="19"/>
      <c r="G11" s="20" t="s">
        <v>12</v>
      </c>
      <c r="H11" s="23"/>
      <c r="I11" s="79"/>
    </row>
    <row r="12" ht="24" customHeight="1" spans="1:9">
      <c r="A12" s="24" t="s">
        <v>20</v>
      </c>
      <c r="B12" s="25"/>
      <c r="C12" s="26" t="s">
        <v>14</v>
      </c>
      <c r="D12" s="27"/>
      <c r="E12" s="28"/>
      <c r="F12" s="25"/>
      <c r="G12" s="26" t="s">
        <v>12</v>
      </c>
      <c r="H12" s="29"/>
      <c r="I12" s="80"/>
    </row>
    <row r="13" ht="33" customHeight="1" spans="1:9">
      <c r="A13" s="30" t="s">
        <v>21</v>
      </c>
      <c r="B13" s="31"/>
      <c r="C13" s="31"/>
      <c r="D13" s="31"/>
      <c r="E13" s="31"/>
      <c r="F13" s="31"/>
      <c r="G13" s="31"/>
      <c r="H13" s="31"/>
      <c r="I13" s="81"/>
    </row>
    <row r="14" ht="40" customHeight="1" spans="1:9">
      <c r="A14" s="32" t="s">
        <v>22</v>
      </c>
      <c r="B14" s="33" t="s">
        <v>23</v>
      </c>
      <c r="C14" s="33" t="s">
        <v>24</v>
      </c>
      <c r="D14" s="33" t="s">
        <v>25</v>
      </c>
      <c r="E14" s="33" t="s">
        <v>26</v>
      </c>
      <c r="F14" s="33" t="s">
        <v>4</v>
      </c>
      <c r="G14" s="34" t="s">
        <v>27</v>
      </c>
      <c r="H14" s="33" t="s">
        <v>28</v>
      </c>
      <c r="I14" s="82" t="s">
        <v>29</v>
      </c>
    </row>
    <row r="15" ht="34" customHeight="1" spans="1:9">
      <c r="A15" s="35" t="s">
        <v>30</v>
      </c>
      <c r="B15" s="36"/>
      <c r="C15" s="36"/>
      <c r="D15" s="36"/>
      <c r="E15" s="36"/>
      <c r="F15" s="37"/>
      <c r="G15" s="38"/>
      <c r="H15" s="39"/>
      <c r="I15" s="83"/>
    </row>
    <row r="16" ht="34" customHeight="1" spans="1:9">
      <c r="A16" s="40"/>
      <c r="B16" s="41"/>
      <c r="C16" s="41"/>
      <c r="D16" s="42"/>
      <c r="E16" s="43"/>
      <c r="F16" s="44"/>
      <c r="G16" s="45"/>
      <c r="H16" s="46"/>
      <c r="I16" s="84"/>
    </row>
    <row r="17" ht="34" customHeight="1" spans="1:9">
      <c r="A17" s="40"/>
      <c r="B17" s="41"/>
      <c r="C17" s="41"/>
      <c r="D17" s="41"/>
      <c r="E17" s="41"/>
      <c r="F17" s="44"/>
      <c r="G17" s="45"/>
      <c r="H17" s="46"/>
      <c r="I17" s="84"/>
    </row>
    <row r="18" ht="34" customHeight="1" spans="1:9">
      <c r="A18" s="47" t="s">
        <v>31</v>
      </c>
      <c r="B18" s="41"/>
      <c r="C18" s="41"/>
      <c r="D18" s="41"/>
      <c r="E18" s="41"/>
      <c r="F18" s="44"/>
      <c r="G18" s="45"/>
      <c r="H18" s="48"/>
      <c r="I18" s="84"/>
    </row>
    <row r="19" ht="34" customHeight="1" spans="1:9">
      <c r="A19" s="40"/>
      <c r="B19" s="41"/>
      <c r="C19" s="41"/>
      <c r="D19" s="42"/>
      <c r="E19" s="43"/>
      <c r="F19" s="44"/>
      <c r="G19" s="45"/>
      <c r="H19" s="46"/>
      <c r="I19" s="84"/>
    </row>
    <row r="20" ht="34" customHeight="1" spans="1:9">
      <c r="A20" s="40"/>
      <c r="B20" s="41"/>
      <c r="C20" s="41"/>
      <c r="D20" s="41"/>
      <c r="E20" s="41"/>
      <c r="F20" s="44"/>
      <c r="G20" s="45"/>
      <c r="H20" s="46"/>
      <c r="I20" s="84"/>
    </row>
    <row r="21" ht="34" customHeight="1" spans="1:9">
      <c r="A21" s="49" t="s">
        <v>32</v>
      </c>
      <c r="B21" s="41"/>
      <c r="C21" s="41"/>
      <c r="D21" s="41"/>
      <c r="E21" s="41"/>
      <c r="F21" s="44"/>
      <c r="G21" s="45"/>
      <c r="H21" s="50"/>
      <c r="I21" s="84"/>
    </row>
    <row r="22" ht="34" customHeight="1" spans="1:9">
      <c r="A22" s="40"/>
      <c r="B22" s="41"/>
      <c r="C22" s="41"/>
      <c r="D22" s="42"/>
      <c r="E22" s="43"/>
      <c r="F22" s="44"/>
      <c r="G22" s="45"/>
      <c r="H22" s="46"/>
      <c r="I22" s="84"/>
    </row>
    <row r="23" ht="34" customHeight="1" spans="1:9">
      <c r="A23" s="40"/>
      <c r="B23" s="41"/>
      <c r="C23" s="41"/>
      <c r="D23" s="41"/>
      <c r="E23" s="41"/>
      <c r="F23" s="44"/>
      <c r="G23" s="45"/>
      <c r="H23" s="46"/>
      <c r="I23" s="84"/>
    </row>
    <row r="24" ht="48" customHeight="1" spans="1:9">
      <c r="A24" s="51" t="s">
        <v>33</v>
      </c>
      <c r="B24" s="52" t="s">
        <v>34</v>
      </c>
      <c r="C24" s="5"/>
      <c r="D24" s="5"/>
      <c r="E24" s="5"/>
      <c r="F24" s="5"/>
      <c r="G24" s="5"/>
      <c r="H24" s="5"/>
      <c r="I24" s="75"/>
    </row>
    <row r="25" ht="47" customHeight="1" spans="1:9">
      <c r="A25" s="53" t="s">
        <v>35</v>
      </c>
      <c r="B25" s="34" t="s">
        <v>36</v>
      </c>
      <c r="C25" s="34" t="s">
        <v>24</v>
      </c>
      <c r="D25" s="33" t="s">
        <v>25</v>
      </c>
      <c r="E25" s="33" t="s">
        <v>26</v>
      </c>
      <c r="F25" s="33" t="s">
        <v>4</v>
      </c>
      <c r="G25" s="34" t="s">
        <v>27</v>
      </c>
      <c r="H25" s="54" t="s">
        <v>28</v>
      </c>
      <c r="I25" s="85" t="s">
        <v>37</v>
      </c>
    </row>
    <row r="26" ht="31" customHeight="1" spans="1:9">
      <c r="A26" s="55" t="s">
        <v>38</v>
      </c>
      <c r="B26" s="56"/>
      <c r="C26" s="56"/>
      <c r="D26" s="56"/>
      <c r="E26" s="56"/>
      <c r="F26" s="57"/>
      <c r="G26" s="58"/>
      <c r="H26" s="59"/>
      <c r="I26" s="86" t="str">
        <f>IF($C26="","",SUMIFS([1]SAP导出昆明可用件库存!$R:$R,[1]SAP导出昆明可用件库存!$B:$B,C26,[1]SAP导出昆明可用件库存!$G:$G,"昆明可用库"))</f>
        <v/>
      </c>
    </row>
    <row r="27" ht="31" customHeight="1" spans="1:9">
      <c r="A27" s="60"/>
      <c r="B27" s="61"/>
      <c r="C27" s="61"/>
      <c r="D27" s="61"/>
      <c r="E27" s="61"/>
      <c r="F27" s="62"/>
      <c r="G27" s="63"/>
      <c r="H27" s="64"/>
      <c r="I27" s="86" t="str">
        <f>IF($C27="","",SUMIFS([1]SAP导出昆明可用件库存!$R:$R,[1]SAP导出昆明可用件库存!$B:$B,C27,[1]SAP导出昆明可用件库存!$G:$G,"昆明可用库"))</f>
        <v/>
      </c>
    </row>
    <row r="28" ht="31" customHeight="1" spans="1:9">
      <c r="A28" s="60"/>
      <c r="B28" s="61"/>
      <c r="C28" s="61"/>
      <c r="D28" s="61"/>
      <c r="E28" s="61"/>
      <c r="F28" s="65"/>
      <c r="G28" s="63"/>
      <c r="H28" s="64"/>
      <c r="I28" s="86" t="str">
        <f>IF($C28="","",SUMIFS([1]SAP导出昆明可用件库存!$R:$R,[1]SAP导出昆明可用件库存!$B:$B,C28,[1]SAP导出昆明可用件库存!$G:$G,"昆明可用库"))</f>
        <v/>
      </c>
    </row>
    <row r="29" s="1" customFormat="1" ht="26" customHeight="1" spans="1:9">
      <c r="A29" s="66" t="s">
        <v>39</v>
      </c>
      <c r="B29" s="61"/>
      <c r="C29" s="61"/>
      <c r="D29" s="61"/>
      <c r="E29" s="61"/>
      <c r="F29" s="62"/>
      <c r="G29" s="63"/>
      <c r="H29" s="67"/>
      <c r="I29" s="86" t="str">
        <f>IF($C29="","",SUMIFS([1]SAP导出昆明可用件库存!$R:$R,[1]SAP导出昆明可用件库存!$B:$B,C29,[1]SAP导出昆明可用件库存!$G:$G,"昆明可用库"))</f>
        <v/>
      </c>
    </row>
    <row r="30" s="1" customFormat="1" ht="26" customHeight="1" spans="1:9">
      <c r="A30" s="60"/>
      <c r="B30" s="61"/>
      <c r="C30" s="61"/>
      <c r="D30" s="61"/>
      <c r="E30" s="61"/>
      <c r="F30" s="62"/>
      <c r="G30" s="63"/>
      <c r="H30" s="64"/>
      <c r="I30" s="86" t="str">
        <f>IF($C30="","",SUMIFS([1]SAP导出昆明可用件库存!$R:$R,[1]SAP导出昆明可用件库存!$B:$B,C30,[1]SAP导出昆明可用件库存!$G:$G,"昆明可用库"))</f>
        <v/>
      </c>
    </row>
    <row r="31" s="1" customFormat="1" ht="26" customHeight="1" spans="1:9">
      <c r="A31" s="60"/>
      <c r="B31" s="61"/>
      <c r="C31" s="61"/>
      <c r="D31" s="61"/>
      <c r="E31" s="61"/>
      <c r="F31" s="65"/>
      <c r="G31" s="63"/>
      <c r="H31" s="64"/>
      <c r="I31" s="86" t="str">
        <f>IF($C31="","",SUMIFS([1]SAP导出昆明可用件库存!$R:$R,[1]SAP导出昆明可用件库存!$B:$B,C31,[1]SAP导出昆明可用件库存!$G:$G,"昆明可用库"))</f>
        <v/>
      </c>
    </row>
    <row r="32" s="1" customFormat="1" ht="34" customHeight="1" spans="1:9">
      <c r="A32" s="68" t="s">
        <v>40</v>
      </c>
      <c r="B32" s="61"/>
      <c r="C32" s="61"/>
      <c r="D32" s="61"/>
      <c r="E32" s="61"/>
      <c r="F32" s="62"/>
      <c r="G32" s="63"/>
      <c r="H32" s="67"/>
      <c r="I32" s="86" t="str">
        <f>IF($C32="","",SUMIFS([1]SAP导出昆明可用件库存!$R:$R,[1]SAP导出昆明可用件库存!$B:$B,C32,[1]SAP导出昆明可用件库存!$G:$G,"昆明可用库"))</f>
        <v/>
      </c>
    </row>
    <row r="33" s="1" customFormat="1" ht="34" customHeight="1" spans="1:9">
      <c r="A33" s="60"/>
      <c r="B33" s="61"/>
      <c r="C33" s="61"/>
      <c r="D33" s="61"/>
      <c r="E33" s="61"/>
      <c r="F33" s="62"/>
      <c r="G33" s="63"/>
      <c r="H33" s="64"/>
      <c r="I33" s="86" t="str">
        <f>IF($C33="","",SUMIFS([1]SAP导出昆明可用件库存!$R:$R,[1]SAP导出昆明可用件库存!$B:$B,C33,[1]SAP导出昆明可用件库存!$G:$G,"昆明可用库"))</f>
        <v/>
      </c>
    </row>
    <row r="34" s="1" customFormat="1" ht="34" customHeight="1" spans="1:9">
      <c r="A34" s="60"/>
      <c r="B34" s="61"/>
      <c r="C34" s="61"/>
      <c r="D34" s="61"/>
      <c r="E34" s="61"/>
      <c r="F34" s="65"/>
      <c r="G34" s="63"/>
      <c r="H34" s="64"/>
      <c r="I34" s="86" t="str">
        <f>IF($C34="","",SUMIFS([1]SAP导出昆明可用件库存!$R:$R,[1]SAP导出昆明可用件库存!$B:$B,C34,[1]SAP导出昆明可用件库存!$G:$G,"昆明可用库"))</f>
        <v/>
      </c>
    </row>
    <row r="35" s="1" customFormat="1" ht="26" customHeight="1" spans="1:9">
      <c r="A35" s="69" t="s">
        <v>41</v>
      </c>
      <c r="B35" s="31"/>
      <c r="C35" s="31"/>
      <c r="D35" s="31"/>
      <c r="E35" s="31"/>
      <c r="F35" s="31"/>
      <c r="G35" s="31"/>
      <c r="H35" s="31"/>
      <c r="I35" s="81"/>
    </row>
    <row r="36" ht="47" customHeight="1" spans="1:9">
      <c r="A36" s="53" t="s">
        <v>42</v>
      </c>
      <c r="B36" s="34" t="s">
        <v>36</v>
      </c>
      <c r="C36" s="34" t="s">
        <v>24</v>
      </c>
      <c r="D36" s="33" t="s">
        <v>25</v>
      </c>
      <c r="E36" s="33" t="s">
        <v>26</v>
      </c>
      <c r="F36" s="33" t="s">
        <v>4</v>
      </c>
      <c r="G36" s="34" t="s">
        <v>27</v>
      </c>
      <c r="H36" s="54" t="s">
        <v>43</v>
      </c>
      <c r="I36" s="85" t="s">
        <v>37</v>
      </c>
    </row>
    <row r="37" ht="25" customHeight="1" spans="1:9">
      <c r="A37" s="70" t="s">
        <v>38</v>
      </c>
      <c r="B37" s="71"/>
      <c r="C37" s="71"/>
      <c r="D37" s="71"/>
      <c r="E37" s="71"/>
      <c r="F37" s="72"/>
      <c r="G37" s="72"/>
      <c r="H37" s="72"/>
      <c r="I37" s="87" t="str">
        <f>IF($C37="","",SUMIFS([1]SAP导出昆明可用件库存!$R:$R,[1]SAP导出昆明可用件库存!$B:$B,C37,[1]SAP导出昆明可用件库存!$G:$G,"昆明可用库"))</f>
        <v/>
      </c>
    </row>
    <row r="38" ht="25" customHeight="1" spans="1:9">
      <c r="A38" s="73"/>
      <c r="B38" s="71"/>
      <c r="C38" s="71"/>
      <c r="D38" s="71"/>
      <c r="E38" s="71"/>
      <c r="F38" s="72"/>
      <c r="G38" s="72"/>
      <c r="H38" s="72"/>
      <c r="I38" s="87" t="str">
        <f>IF($C38="","",SUMIFS([1]SAP导出昆明可用件库存!$R:$R,[1]SAP导出昆明可用件库存!$B:$B,C38,[1]SAP导出昆明可用件库存!$G:$G,"昆明可用库"))</f>
        <v/>
      </c>
    </row>
    <row r="39" ht="25" customHeight="1" spans="1:9">
      <c r="A39" s="70" t="s">
        <v>39</v>
      </c>
      <c r="B39" s="71"/>
      <c r="C39" s="71"/>
      <c r="D39" s="71"/>
      <c r="E39" s="71"/>
      <c r="F39" s="72"/>
      <c r="G39" s="72"/>
      <c r="H39" s="72"/>
      <c r="I39" s="87" t="str">
        <f>IF($C39="","",SUMIFS([1]SAP导出昆明可用件库存!$R:$R,[1]SAP导出昆明可用件库存!$B:$B,C39,[1]SAP导出昆明可用件库存!$G:$G,"昆明可用库"))</f>
        <v/>
      </c>
    </row>
    <row r="40" ht="25" customHeight="1" spans="1:9">
      <c r="A40" s="73"/>
      <c r="B40" s="71"/>
      <c r="C40" s="74"/>
      <c r="D40" s="72"/>
      <c r="E40" s="72"/>
      <c r="F40" s="72"/>
      <c r="G40" s="72"/>
      <c r="H40" s="72"/>
      <c r="I40" s="87" t="str">
        <f>IF($C40="","",SUMIFS([1]SAP导出昆明可用件库存!$R:$R,[1]SAP导出昆明可用件库存!$B:$B,C40,[1]SAP导出昆明可用件库存!$G:$G,"昆明可用库"))</f>
        <v/>
      </c>
    </row>
    <row r="41" ht="25" customHeight="1" spans="1:9">
      <c r="A41" s="70" t="s">
        <v>40</v>
      </c>
      <c r="B41" s="71"/>
      <c r="C41" s="74"/>
      <c r="D41" s="72"/>
      <c r="E41" s="72"/>
      <c r="F41" s="72"/>
      <c r="G41" s="72"/>
      <c r="H41" s="72"/>
      <c r="I41" s="87" t="str">
        <f>IF($C41="","",SUMIFS([1]SAP导出昆明可用件库存!$R:$R,[1]SAP导出昆明可用件库存!$B:$B,C41,[1]SAP导出昆明可用件库存!$G:$G,"昆明可用库"))</f>
        <v/>
      </c>
    </row>
    <row r="42" ht="25" customHeight="1" spans="1:9">
      <c r="A42" s="73"/>
      <c r="B42" s="71"/>
      <c r="C42" s="74"/>
      <c r="D42" s="72"/>
      <c r="E42" s="72"/>
      <c r="F42" s="72"/>
      <c r="G42" s="72"/>
      <c r="H42" s="72"/>
      <c r="I42" s="87" t="str">
        <f>IF($C42="","",SUMIFS([1]SAP导出昆明可用件库存!$R:$R,[1]SAP导出昆明可用件库存!$B:$B,C42,[1]SAP导出昆明可用件库存!$G:$G,"昆明可用库"))</f>
        <v/>
      </c>
    </row>
    <row r="81" ht="15" customHeight="1"/>
  </sheetData>
  <mergeCells count="50">
    <mergeCell ref="A1:I1"/>
    <mergeCell ref="A2:I2"/>
    <mergeCell ref="A3:B3"/>
    <mergeCell ref="D3:F3"/>
    <mergeCell ref="H3:I3"/>
    <mergeCell ref="A4:B4"/>
    <mergeCell ref="D4:F4"/>
    <mergeCell ref="H4:I4"/>
    <mergeCell ref="A5:B5"/>
    <mergeCell ref="D5:F5"/>
    <mergeCell ref="H5:I5"/>
    <mergeCell ref="A6:B6"/>
    <mergeCell ref="D6:F6"/>
    <mergeCell ref="H6:I6"/>
    <mergeCell ref="A7:B7"/>
    <mergeCell ref="D7:F7"/>
    <mergeCell ref="H7:I7"/>
    <mergeCell ref="A8:B8"/>
    <mergeCell ref="D8:F8"/>
    <mergeCell ref="H8:I8"/>
    <mergeCell ref="A9:B9"/>
    <mergeCell ref="D9:F9"/>
    <mergeCell ref="H9:I9"/>
    <mergeCell ref="A10:B10"/>
    <mergeCell ref="D10:F10"/>
    <mergeCell ref="H10:I10"/>
    <mergeCell ref="A11:B11"/>
    <mergeCell ref="D11:F11"/>
    <mergeCell ref="H11:I11"/>
    <mergeCell ref="A12:B12"/>
    <mergeCell ref="D12:F12"/>
    <mergeCell ref="H12:I12"/>
    <mergeCell ref="A13:I13"/>
    <mergeCell ref="B24:I24"/>
    <mergeCell ref="A35:I35"/>
    <mergeCell ref="A15:A17"/>
    <mergeCell ref="A18:A20"/>
    <mergeCell ref="A21:A23"/>
    <mergeCell ref="A26:A28"/>
    <mergeCell ref="A29:A31"/>
    <mergeCell ref="A32:A34"/>
    <mergeCell ref="A37:A38"/>
    <mergeCell ref="A39:A40"/>
    <mergeCell ref="A41:A42"/>
    <mergeCell ref="H15:H17"/>
    <mergeCell ref="H18:H20"/>
    <mergeCell ref="H21:H23"/>
    <mergeCell ref="H26:H28"/>
    <mergeCell ref="H29:H31"/>
    <mergeCell ref="H32:H34"/>
  </mergeCells>
  <pageMargins left="0.5" right="0.5" top="0.5" bottom="0.5" header="0.3" footer="0.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林北</cp:lastModifiedBy>
  <dcterms:created xsi:type="dcterms:W3CDTF">2006-09-16T00:00:00Z</dcterms:created>
  <dcterms:modified xsi:type="dcterms:W3CDTF">2026-07-16T01:24:09Z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CDC8B4EB45CE4FC281AA493733101DCB</vt:lpwstr>
  </property>
  <property fmtid="{D5CDD505-2E9C-101B-9397-08002B2CF9AE}" pid="3" name="KSOProductBuildVer">
    <vt:lpwstr>2052-11.8.2.12195</vt:lpwstr>
  </property>
</Properties>
</file>